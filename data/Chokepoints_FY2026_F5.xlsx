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_phd\Data\U_Info\"/>
    </mc:Choice>
  </mc:AlternateContent>
  <xr:revisionPtr revIDLastSave="0" documentId="13_ncr:1_{D0B3F1EC-FA45-468A-B472-13EF0264F2DE}" xr6:coauthVersionLast="47" xr6:coauthVersionMax="47" xr10:uidLastSave="{00000000-0000-0000-0000-000000000000}"/>
  <bookViews>
    <workbookView xWindow="-120" yWindow="-120" windowWidth="29040" windowHeight="15720" activeTab="3" xr2:uid="{38365207-DEB8-4E0A-8BE5-992B901F7C2C}"/>
  </bookViews>
  <sheets>
    <sheet name="world chokepoints" sheetId="3" r:id="rId1"/>
    <sheet name="Sheet1" sheetId="4" r:id="rId2"/>
    <sheet name="CrudeByOrigin_F5" sheetId="1" r:id="rId3"/>
    <sheet name="CrudeByDestination_F5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<sst xmlns="http://schemas.openxmlformats.org/spreadsheetml/2006/main" count="55" uniqueCount="43">
  <si>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Sources: U.S. Energy Information Administration analysis based on Vortexa.</t>
  </si>
  <si>
    <t>See combined chart on ByDestination tab</t>
  </si>
  <si>
    <t>China</t>
  </si>
  <si>
    <t>India</t>
  </si>
  <si>
    <t>South Korea</t>
  </si>
  <si>
    <t>Japan</t>
  </si>
  <si>
    <t>other Asia &amp; Oceania</t>
  </si>
  <si>
    <t>Europe</t>
  </si>
  <si>
    <t>United States</t>
  </si>
  <si>
    <t>Saudi Arabia</t>
  </si>
  <si>
    <t>other</t>
  </si>
  <si>
    <t>Iraq</t>
  </si>
  <si>
    <t>United Arab Emirates</t>
  </si>
  <si>
    <t>Iran</t>
  </si>
  <si>
    <t>Kuwait</t>
  </si>
  <si>
    <t>Qatar</t>
  </si>
  <si>
    <t>Notes: · 1H25=first half of 2025. Dates are based on loading date.</t>
  </si>
  <si>
    <t>1H25</t>
  </si>
  <si>
    <t>million barrels per day</t>
  </si>
  <si>
    <t>Figure 5. Volume of crude oil and condensate transported through the Strait of Hormuz, by origin</t>
  </si>
  <si>
    <t>Location</t>
  </si>
  <si>
    <t>Strait of Malacca</t>
  </si>
  <si>
    <t>Strait of Hormuz</t>
  </si>
  <si>
    <t>Suez Canal and SUMED Pipeline</t>
  </si>
  <si>
    <t>Bab el-Mandeb</t>
  </si>
  <si>
    <r>
      <t>Danish Straits</t>
    </r>
    <r>
      <rPr>
        <vertAlign val="superscript"/>
        <sz val="12"/>
        <color rgb="FF000000"/>
        <rFont val="Arial"/>
        <family val="2"/>
        <scheme val="minor"/>
      </rPr>
      <t>a</t>
    </r>
  </si>
  <si>
    <t>Turkish Straits (Dardanelles)</t>
  </si>
  <si>
    <r>
      <t>Panama Canal</t>
    </r>
    <r>
      <rPr>
        <vertAlign val="superscript"/>
        <sz val="12"/>
        <color rgb="FF000000"/>
        <rFont val="Arial"/>
        <family val="2"/>
        <scheme val="minor"/>
      </rPr>
      <t>b</t>
    </r>
  </si>
  <si>
    <t>Cape of Good Hope</t>
  </si>
  <si>
    <t>     Crude oil and condensate</t>
  </si>
  <si>
    <t>     Petroleum products</t>
  </si>
  <si>
    <t>Table 3. Volume of crude oil, condensate, and petroleum products transported through the Strait of Hormuz, 2020–1H25</t>
  </si>
  <si>
    <t>Total oil flows through the Strait of Hormuz</t>
  </si>
  <si>
    <t>LNG flows through Strait of Hormuz (billion cubic feet per day)</t>
  </si>
  <si>
    <r>
      <t>Data source:</t>
    </r>
    <r>
      <rPr>
        <b/>
        <sz val="12"/>
        <color rgb="FF000000"/>
        <rFont val="Arial"/>
        <family val="2"/>
        <scheme val="minor"/>
      </rPr>
      <t> </t>
    </r>
    <r>
      <rPr>
        <sz val="12"/>
        <color rgb="FF000000"/>
        <rFont val="Arial"/>
        <family val="2"/>
        <scheme val="minor"/>
      </rPr>
      <t>U.S. Energy Information Administration</t>
    </r>
    <r>
      <rPr>
        <b/>
        <sz val="12"/>
        <color rgb="FF000000"/>
        <rFont val="Arial"/>
        <family val="2"/>
        <scheme val="minor"/>
      </rPr>
      <t> </t>
    </r>
    <r>
      <rPr>
        <sz val="12"/>
        <color rgb="FF000000"/>
        <rFont val="Arial"/>
        <family val="2"/>
        <scheme val="minor"/>
      </rPr>
      <t>analysis based on Vortexa tanker tracking data</t>
    </r>
  </si>
  <si>
    <t>Note: LNG=liquefied natural gas; 1H25=first half of 2025</t>
  </si>
  <si>
    <t>country</t>
  </si>
  <si>
    <t>Lon</t>
  </si>
  <si>
    <t>Lat</t>
  </si>
  <si>
    <t>Region / Country</t>
  </si>
  <si>
    <t>Latitude (°N)</t>
  </si>
  <si>
    <t>Longitude (°E)</t>
  </si>
  <si>
    <t>Europe (approx. center)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</si>
</sst>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_(* #,##0.0_);_(* \(#,##0.0\);_(* &quot;-&quot;??_);_(@_)"/>
    <numFmt numFmtId="167" formatCode="_(* #,##0.000_);_(* \(#,##0.000\);_(* &quot;-&quot;??_);_(@_)"/>
    <numFmt numFmtId="168" formatCode="_(* #,##0.0000_);_(* \(#,##0.0000\);_(* &quot;-&quot;??_);_(@_)"/>
  </numFmts>
  <fonts count="1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rgb="FF333333"/>
      <name val="Times New Roman"/>
      <family val="1"/>
    </font>
    <font>
      <sz val="11"/>
      <color theme="1"/>
      <name val="Arial"/>
      <family val="2"/>
    </font>
    <font>
      <b/>
      <sz val="9"/>
      <color rgb="FF333333"/>
      <name val="Times New Roman"/>
      <family val="1"/>
    </font>
    <font>
      <sz val="9"/>
      <color rgb="FF333333"/>
      <name val="Times New Roman"/>
      <family val="1"/>
    </font>
    <font>
      <sz val="9"/>
      <color theme="1" tint="0.499984740745262"/>
      <name val="Times New Roman"/>
      <family val="1"/>
    </font>
    <font>
      <sz val="11"/>
      <color theme="0" tint="-0.499984740745262"/>
      <name val="Arial"/>
      <family val="2"/>
    </font>
    <font>
      <sz val="10"/>
      <color rgb="FF000000"/>
      <name val="Arial"/>
      <family val="2"/>
    </font>
    <font>
      <b/>
      <u/>
      <sz val="11"/>
      <color rgb="FF00B050"/>
      <name val="Arial"/>
      <family val="2"/>
    </font>
    <font>
      <b/>
      <sz val="10"/>
      <color rgb="FF189BD7"/>
      <name val="Times New Roman"/>
      <family val="1"/>
    </font>
    <font>
      <b/>
      <sz val="12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vertAlign val="superscript"/>
      <sz val="12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189BD7"/>
      </bottom>
      <diagonal/>
    </border>
    <border>
      <left/>
      <right/>
      <top/>
      <bottom style="mediumDashed">
        <color rgb="FFCCCCCC"/>
      </bottom>
      <diagonal/>
    </border>
    <border>
      <left/>
      <right/>
      <top style="mediumDashed">
        <color theme="2" tint="0.79992065187536243"/>
      </top>
      <bottom style="thick">
        <color rgb="FF189BD7"/>
      </bottom>
      <diagonal/>
    </border>
    <border>
      <left/>
      <right/>
      <top style="thick">
        <color rgb="FF189B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 style="mediumDashed">
        <color rgb="FFD6D6D6"/>
      </top>
      <bottom/>
      <diagonal/>
    </border>
    <border>
      <left/>
      <right/>
      <top style="medium">
        <color rgb="FF189BD7"/>
      </top>
      <bottom/>
      <diagonal/>
    </border>
    <border>
      <left/>
      <right/>
      <top style="thick">
        <color rgb="FF0096D7"/>
      </top>
      <bottom/>
      <diagonal/>
    </border>
    <border>
      <left/>
      <right/>
      <top style="medium">
        <color rgb="FF0096D7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43">
    <xf numFmtId="0" fontId="0" fillId="0" borderId="0" xfId="0"/>
    <xf numFmtId="0" fontId="3" fillId="2" borderId="0" xfId="2" applyFont="1" applyFill="1" applyAlignment="1">
      <alignment vertical="center"/>
    </xf>
    <xf numFmtId="0" fontId="4" fillId="2" borderId="0" xfId="2" applyFont="1" applyFill="1"/>
    <xf numFmtId="0" fontId="5" fillId="0" borderId="1" xfId="2" applyFont="1" applyBorder="1" applyAlignment="1">
      <alignment vertical="center" wrapText="1"/>
    </xf>
    <xf numFmtId="0" fontId="5" fillId="0" borderId="1" xfId="2" applyFont="1" applyBorder="1" applyAlignment="1">
      <alignment horizontal="right" vertical="center" wrapText="1"/>
    </xf>
    <xf numFmtId="0" fontId="6" fillId="2" borderId="2" xfId="2" applyFont="1" applyFill="1" applyBorder="1" applyAlignment="1">
      <alignment horizontal="left" vertical="center" wrapText="1" indent="1"/>
    </xf>
    <xf numFmtId="165" fontId="6" fillId="2" borderId="2" xfId="2" applyNumberFormat="1" applyFont="1" applyFill="1" applyBorder="1" applyAlignment="1">
      <alignment horizontal="right" vertical="center" wrapText="1"/>
    </xf>
    <xf numFmtId="166" fontId="6" fillId="2" borderId="3" xfId="3" applyNumberFormat="1" applyFont="1" applyFill="1" applyBorder="1" applyAlignment="1">
      <alignment horizontal="left" vertical="center" wrapText="1"/>
    </xf>
    <xf numFmtId="166" fontId="6" fillId="2" borderId="3" xfId="3" applyNumberFormat="1" applyFont="1" applyFill="1" applyBorder="1" applyAlignment="1">
      <alignment horizontal="right" vertical="center" wrapText="1"/>
    </xf>
    <xf numFmtId="0" fontId="8" fillId="2" borderId="0" xfId="2" applyFont="1" applyFill="1"/>
    <xf numFmtId="4" fontId="9" fillId="0" borderId="0" xfId="0" applyNumberFormat="1" applyFont="1"/>
    <xf numFmtId="4" fontId="4" fillId="2" borderId="0" xfId="2" applyNumberFormat="1" applyFont="1" applyFill="1"/>
    <xf numFmtId="9" fontId="4" fillId="2" borderId="0" xfId="1" applyFont="1" applyFill="1"/>
    <xf numFmtId="167" fontId="4" fillId="2" borderId="0" xfId="2" applyNumberFormat="1" applyFont="1" applyFill="1"/>
    <xf numFmtId="165" fontId="4" fillId="2" borderId="0" xfId="2" applyNumberFormat="1" applyFont="1" applyFill="1"/>
    <xf numFmtId="168" fontId="4" fillId="2" borderId="0" xfId="2" applyNumberFormat="1" applyFont="1" applyFill="1"/>
    <xf numFmtId="0" fontId="10" fillId="2" borderId="0" xfId="2" applyFont="1" applyFill="1"/>
    <xf numFmtId="0" fontId="5" fillId="0" borderId="1" xfId="2" applyFont="1" applyBorder="1" applyAlignment="1">
      <alignment horizontal="left" vertical="center" wrapText="1"/>
    </xf>
    <xf numFmtId="0" fontId="11" fillId="2" borderId="0" xfId="2" applyFont="1" applyFill="1" applyAlignment="1">
      <alignment vertical="center"/>
    </xf>
    <xf numFmtId="0" fontId="12" fillId="3" borderId="5" xfId="0" applyFont="1" applyFill="1" applyBorder="1" applyAlignment="1">
      <alignment horizontal="left" wrapText="1"/>
    </xf>
    <xf numFmtId="0" fontId="12" fillId="3" borderId="5" xfId="0" applyFont="1" applyFill="1" applyBorder="1" applyAlignment="1">
      <alignment horizontal="right" wrapText="1"/>
    </xf>
    <xf numFmtId="0" fontId="13" fillId="3" borderId="0" xfId="0" applyFont="1" applyFill="1" applyAlignment="1">
      <alignment horizontal="left" vertical="top" wrapText="1"/>
    </xf>
    <xf numFmtId="0" fontId="13" fillId="3" borderId="0" xfId="0" applyFont="1" applyFill="1" applyAlignment="1">
      <alignment horizontal="right" vertical="top" wrapText="1"/>
    </xf>
    <xf numFmtId="0" fontId="13" fillId="3" borderId="6" xfId="0" applyFont="1" applyFill="1" applyBorder="1" applyAlignment="1">
      <alignment horizontal="left" vertical="top" wrapText="1"/>
    </xf>
    <xf numFmtId="0" fontId="13" fillId="3" borderId="6" xfId="0" applyFont="1" applyFill="1" applyBorder="1" applyAlignment="1">
      <alignment horizontal="right" vertical="top" wrapText="1"/>
    </xf>
    <xf numFmtId="0" fontId="12" fillId="3" borderId="7" xfId="0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right" vertical="top" wrapText="1"/>
    </xf>
    <xf numFmtId="0" fontId="12" fillId="3" borderId="9" xfId="0" applyFont="1" applyFill="1" applyBorder="1" applyAlignment="1">
      <alignment horizontal="left" vertical="top" wrapText="1"/>
    </xf>
    <xf numFmtId="0" fontId="12" fillId="3" borderId="9" xfId="0" applyFont="1" applyFill="1" applyBorder="1" applyAlignment="1">
      <alignment horizontal="right" vertical="top" wrapText="1"/>
    </xf>
    <xf numFmtId="0" fontId="12" fillId="3" borderId="6" xfId="0" applyFont="1" applyFill="1" applyBorder="1" applyAlignment="1">
      <alignment horizontal="left" vertical="top" wrapText="1"/>
    </xf>
    <xf numFmtId="0" fontId="12" fillId="3" borderId="6" xfId="0" applyFont="1" applyFill="1" applyBorder="1" applyAlignment="1">
      <alignment horizontal="right" vertical="top" wrapText="1"/>
    </xf>
    <xf numFmtId="0" fontId="0" fillId="0" borderId="0" xfId="0" applyAlignment="1">
      <alignment wrapText="1"/>
    </xf>
    <xf numFmtId="0" fontId="13" fillId="3" borderId="5" xfId="0" applyFont="1" applyFill="1" applyBorder="1" applyAlignment="1">
      <alignment horizontal="left" vertical="top" wrapText="1"/>
    </xf>
    <xf numFmtId="0" fontId="13" fillId="3" borderId="8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0" borderId="0" xfId="0"/>
    <xf numFmtId="0" fontId="13" fillId="3" borderId="0" xfId="0" applyFont="1" applyFill="1" applyAlignment="1">
      <alignment vertical="top" wrapText="1"/>
    </xf>
    <xf numFmtId="0" fontId="13" fillId="3" borderId="8" xfId="0" applyFont="1" applyFill="1" applyBorder="1" applyAlignment="1">
      <alignment horizontal="left" vertical="top" wrapText="1"/>
    </xf>
    <xf numFmtId="0" fontId="7" fillId="2" borderId="4" xfId="2" applyFont="1" applyFill="1" applyBorder="1" applyAlignment="1">
      <alignment horizontal="left" vertical="center" wrapText="1"/>
    </xf>
    <xf numFmtId="0" fontId="7" fillId="2" borderId="0" xfId="2" applyFont="1" applyFill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">
    <cellStyle name="Comma 2" xfId="3" xr:uid="{B2B8A8C8-5C19-45D9-AC3F-32AFBBC92367}"/>
    <cellStyle name="Normal" xfId="0" builtinId="0"/>
    <cellStyle name="Normal 2" xfId="2" xr:uid="{C2F691D1-1230-45A1-8522-067D5A07740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680248886624"/>
          <c:y val="0.22216892014123474"/>
          <c:w val="0.43682125591193172"/>
          <c:h val="0.5584728232976139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CrudeByDestination_F5!$A$2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CrudeByDestination_F5!$D$2:$I$2</c:f>
              <c:numCache>
                <c:formatCode>0.0</c:formatCode>
                <c:ptCount val="6"/>
                <c:pt idx="0">
                  <c:v>4.1332567486338796</c:v>
                </c:pt>
                <c:pt idx="1">
                  <c:v>4.2989880684931503</c:v>
                </c:pt>
                <c:pt idx="2">
                  <c:v>4.6354549068493149</c:v>
                </c:pt>
                <c:pt idx="3">
                  <c:v>5.1101603260273976</c:v>
                </c:pt>
                <c:pt idx="4">
                  <c:v>4.9278413989071037</c:v>
                </c:pt>
                <c:pt idx="5">
                  <c:v>5.3996813370165748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B-4764-9DD3-F46FE45A0DE0}"/>
            </c:ext>
          </c:extLst>
        </c:ser>
        <c:ser>
          <c:idx val="2"/>
          <c:order val="1"/>
          <c:tx>
            <c:strRef>
              <c:f>CrudeByDestination_F5!$A$3</c:f>
              <c:strCache>
                <c:ptCount val="1"/>
                <c:pt idx="0">
                  <c:v>India</c:v>
                </c:pt>
              </c:strCache>
            </c:strRef>
          </c:tx>
          <c:spPr>
            <a:solidFill>
              <a:schemeClr val="tx2">
                <a:lumMod val="90000"/>
                <a:lumOff val="1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CrudeByDestination_F5!$D$3:$I$3</c:f>
              <c:numCache>
                <c:formatCode>0.0</c:formatCode>
                <c:ptCount val="6"/>
                <c:pt idx="0">
                  <c:v>2.2462214699453553</c:v>
                </c:pt>
                <c:pt idx="1">
                  <c:v>2.3293392082191779</c:v>
                </c:pt>
                <c:pt idx="2">
                  <c:v>2.4459892821917806</c:v>
                </c:pt>
                <c:pt idx="3">
                  <c:v>1.9991081315068495</c:v>
                </c:pt>
                <c:pt idx="4">
                  <c:v>1.9209544808743169</c:v>
                </c:pt>
                <c:pt idx="5">
                  <c:v>2.048842635359116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9B-4764-9DD3-F46FE45A0DE0}"/>
            </c:ext>
          </c:extLst>
        </c:ser>
        <c:ser>
          <c:idx val="0"/>
          <c:order val="2"/>
          <c:tx>
            <c:strRef>
              <c:f>CrudeByDestination_F5!$A$4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CrudeByDestination_F5!$D$4:$I$4</c:f>
              <c:numCache>
                <c:formatCode>0.0</c:formatCode>
                <c:ptCount val="6"/>
                <c:pt idx="0">
                  <c:v>1.7232807185792349</c:v>
                </c:pt>
                <c:pt idx="1">
                  <c:v>1.4763130383561642</c:v>
                </c:pt>
                <c:pt idx="2">
                  <c:v>1.752610871232877</c:v>
                </c:pt>
                <c:pt idx="3">
                  <c:v>1.8539291315068493</c:v>
                </c:pt>
                <c:pt idx="4">
                  <c:v>1.8158729754098362</c:v>
                </c:pt>
                <c:pt idx="5">
                  <c:v>1.7472554640883979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9B-4764-9DD3-F46FE45A0DE0}"/>
            </c:ext>
          </c:extLst>
        </c:ser>
        <c:ser>
          <c:idx val="3"/>
          <c:order val="3"/>
          <c:tx>
            <c:strRef>
              <c:f>CrudeByDestination_F5!$A$5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CrudeByDestination_F5!$D$5:$I$5</c:f>
              <c:numCache>
                <c:formatCode>0.0</c:formatCode>
                <c:ptCount val="6"/>
                <c:pt idx="0">
                  <c:v>1.9847622786885246</c:v>
                </c:pt>
                <c:pt idx="1">
                  <c:v>1.8945677726027399</c:v>
                </c:pt>
                <c:pt idx="2">
                  <c:v>2.1395266575342466</c:v>
                </c:pt>
                <c:pt idx="3">
                  <c:v>1.8861924657534246</c:v>
                </c:pt>
                <c:pt idx="4">
                  <c:v>1.7241304863387976</c:v>
                </c:pt>
                <c:pt idx="5">
                  <c:v>1.7047350828729282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9B-4764-9DD3-F46FE45A0DE0}"/>
            </c:ext>
          </c:extLst>
        </c:ser>
        <c:ser>
          <c:idx val="5"/>
          <c:order val="4"/>
          <c:tx>
            <c:strRef>
              <c:f>CrudeByDestination_F5!$A$6</c:f>
              <c:strCache>
                <c:ptCount val="1"/>
                <c:pt idx="0">
                  <c:v>other Asia &amp; Oceania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CrudeByDestination_F5!$D$6:$I$6</c:f>
              <c:numCache>
                <c:formatCode>0.0</c:formatCode>
                <c:ptCount val="6"/>
                <c:pt idx="0">
                  <c:v>2.0692568551912571</c:v>
                </c:pt>
                <c:pt idx="1">
                  <c:v>2.1361368164383561</c:v>
                </c:pt>
                <c:pt idx="2">
                  <c:v>2.3142453342465754</c:v>
                </c:pt>
                <c:pt idx="3">
                  <c:v>2.1743953753424656</c:v>
                </c:pt>
                <c:pt idx="4">
                  <c:v>2.1670378661202183</c:v>
                </c:pt>
                <c:pt idx="5">
                  <c:v>2.2573845082872928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9B-4764-9DD3-F46FE45A0DE0}"/>
            </c:ext>
          </c:extLst>
        </c:ser>
        <c:ser>
          <c:idx val="9"/>
          <c:order val="5"/>
          <c:tx>
            <c:strRef>
              <c:f>CrudeByDestination_F5!$A$7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CrudeByDestination_F5!$D$7:$I$7</c:f>
              <c:numCache>
                <c:formatCode>0.0</c:formatCode>
                <c:ptCount val="6"/>
                <c:pt idx="0">
                  <c:v>0.57916160655737703</c:v>
                </c:pt>
                <c:pt idx="1">
                  <c:v>0.54592893150684929</c:v>
                </c:pt>
                <c:pt idx="2">
                  <c:v>0.89970869315068491</c:v>
                </c:pt>
                <c:pt idx="3">
                  <c:v>0.99894223561643836</c:v>
                </c:pt>
                <c:pt idx="4">
                  <c:v>0.7469765054644808</c:v>
                </c:pt>
                <c:pt idx="5">
                  <c:v>0.58635802762430944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09B-4764-9DD3-F46FE45A0DE0}"/>
            </c:ext>
          </c:extLst>
        </c:ser>
        <c:ser>
          <c:idx val="6"/>
          <c:order val="6"/>
          <c:tx>
            <c:strRef>
              <c:f>CrudeByDestination_F5!$A$8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CrudeByDestination_F5!$D$8:$I$8</c:f>
              <c:numCache>
                <c:formatCode>0.0</c:formatCode>
                <c:ptCount val="6"/>
                <c:pt idx="0">
                  <c:v>0.56878921857923492</c:v>
                </c:pt>
                <c:pt idx="1">
                  <c:v>0.61041528219178087</c:v>
                </c:pt>
                <c:pt idx="2">
                  <c:v>0.68230418630136991</c:v>
                </c:pt>
                <c:pt idx="3">
                  <c:v>0.48540536986301369</c:v>
                </c:pt>
                <c:pt idx="4">
                  <c:v>0.49877299726775953</c:v>
                </c:pt>
                <c:pt idx="5">
                  <c:v>0.42680213812154699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09B-4764-9DD3-F46FE45A0DE0}"/>
            </c:ext>
          </c:extLst>
        </c:ser>
        <c:ser>
          <c:idx val="7"/>
          <c:order val="7"/>
          <c:tx>
            <c:strRef>
              <c:f>CrudeByDestination_F5!$A$9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CrudeByDestination_F5!$D$9:$I$9</c:f>
              <c:numCache>
                <c:formatCode>0.0</c:formatCode>
                <c:ptCount val="6"/>
                <c:pt idx="0">
                  <c:v>0.27981561748633876</c:v>
                </c:pt>
                <c:pt idx="1">
                  <c:v>0.44676779999999999</c:v>
                </c:pt>
                <c:pt idx="2">
                  <c:v>0.52369704931506855</c:v>
                </c:pt>
                <c:pt idx="3">
                  <c:v>0.27951709863013696</c:v>
                </c:pt>
                <c:pt idx="4">
                  <c:v>0.23442875136612021</c:v>
                </c:pt>
                <c:pt idx="5">
                  <c:v>1.8222436464088398E-2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09B-4764-9DD3-F46FE45A0DE0}"/>
            </c:ext>
          </c:extLst>
        </c:ser>
        <c:ser>
          <c:idx val="8"/>
          <c:order val="8"/>
          <c:tx>
            <c:strRef>
              <c:f>CrudeByDestination_F5!$A$10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CrudeByDestination_F5!$D$1:$I$1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CrudeByDestination_F5!$D$10:$I$10</c:f>
              <c:numCache>
                <c:formatCode>_(* #,##0.0_);_(* \(#,##0.0\);_(* "-"??_);_(@_)</c:formatCode>
                <c:ptCount val="6"/>
                <c:pt idx="0">
                  <c:v>0.81611015300546452</c:v>
                </c:pt>
                <c:pt idx="1">
                  <c:v>0.91419441095890419</c:v>
                </c:pt>
                <c:pt idx="2">
                  <c:v>0.84392931506849311</c:v>
                </c:pt>
                <c:pt idx="3">
                  <c:v>1.024752684931507</c:v>
                </c:pt>
                <c:pt idx="4">
                  <c:v>0.60352712841530054</c:v>
                </c:pt>
                <c:pt idx="5">
                  <c:v>0.55701107182320442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9B-4764-9DD3-F46FE45A0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8577440"/>
        <c:axId val="478576880"/>
        <c:extLst/>
      </c:barChart>
      <c:catAx>
        <c:axId val="47857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6880"/>
        <c:crosses val="autoZero"/>
        <c:auto val="1"/>
        <c:lblAlgn val="ctr"/>
        <c:lblOffset val="100"/>
        <c:noMultiLvlLbl val="0"/>
      </c:catAx>
      <c:valAx>
        <c:axId val="47857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57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359200630023152"/>
          <c:y val="0.13937468331842184"/>
          <c:w val="0.43261350315479968"/>
          <c:h val="0.752437885389713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150079950260516E-2"/>
          <c:y val="0.22216884048695371"/>
          <c:w val="0.44578494912912575"/>
          <c:h val="0.56872308888873413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CrudeByOrigin_F5!$A$3</c:f>
              <c:strCache>
                <c:ptCount val="1"/>
                <c:pt idx="0">
                  <c:v>Saudi Arabia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CrudeByOrigin_F5!$B$3:$G$3</c:f>
              <c:numCache>
                <c:formatCode>0.0</c:formatCode>
                <c:ptCount val="6"/>
                <c:pt idx="0">
                  <c:v>6.262144696721311</c:v>
                </c:pt>
                <c:pt idx="1">
                  <c:v>6.3827651698630143</c:v>
                </c:pt>
                <c:pt idx="2">
                  <c:v>6.9403563945205473</c:v>
                </c:pt>
                <c:pt idx="3">
                  <c:v>6.2993309123287675</c:v>
                </c:pt>
                <c:pt idx="4">
                  <c:v>5.5884214972677597</c:v>
                </c:pt>
                <c:pt idx="5">
                  <c:v>5.5530155966850829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9-4B3A-992E-D8D0FB94889B}"/>
            </c:ext>
          </c:extLst>
        </c:ser>
        <c:ser>
          <c:idx val="2"/>
          <c:order val="1"/>
          <c:tx>
            <c:strRef>
              <c:f>CrudeByOrigin_F5!$A$4</c:f>
              <c:strCache>
                <c:ptCount val="1"/>
                <c:pt idx="0">
                  <c:v>Iraq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CrudeByOrigin_F5!$B$4:$G$4</c:f>
              <c:numCache>
                <c:formatCode>0.0</c:formatCode>
                <c:ptCount val="6"/>
                <c:pt idx="0">
                  <c:v>2.8849256693989069</c:v>
                </c:pt>
                <c:pt idx="1">
                  <c:v>2.8651327123287671</c:v>
                </c:pt>
                <c:pt idx="2">
                  <c:v>3.2106692958904111</c:v>
                </c:pt>
                <c:pt idx="3">
                  <c:v>3.2563744657534244</c:v>
                </c:pt>
                <c:pt idx="4">
                  <c:v>3.2652996448087435</c:v>
                </c:pt>
                <c:pt idx="5">
                  <c:v>3.2847029171270723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89-4B3A-992E-D8D0FB94889B}"/>
            </c:ext>
          </c:extLst>
        </c:ser>
        <c:ser>
          <c:idx val="0"/>
          <c:order val="2"/>
          <c:tx>
            <c:strRef>
              <c:f>CrudeByOrigin_F5!$A$5</c:f>
              <c:strCache>
                <c:ptCount val="1"/>
                <c:pt idx="0">
                  <c:v>United Arab Emirates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CrudeByOrigin_F5!$B$5:$G$5</c:f>
              <c:numCache>
                <c:formatCode>0.0</c:formatCode>
                <c:ptCount val="6"/>
                <c:pt idx="0">
                  <c:v>2.0282292595628415</c:v>
                </c:pt>
                <c:pt idx="1">
                  <c:v>1.9820665945205478</c:v>
                </c:pt>
                <c:pt idx="2">
                  <c:v>2.4832279369863013</c:v>
                </c:pt>
                <c:pt idx="3">
                  <c:v>2.3450388657534247</c:v>
                </c:pt>
                <c:pt idx="4">
                  <c:v>2.19697525136612</c:v>
                </c:pt>
                <c:pt idx="5">
                  <c:v>2.0522827679558011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89-4B3A-992E-D8D0FB94889B}"/>
            </c:ext>
          </c:extLst>
        </c:ser>
        <c:ser>
          <c:idx val="3"/>
          <c:order val="3"/>
          <c:tx>
            <c:strRef>
              <c:f>CrudeByOrigin_F5!$A$6</c:f>
              <c:strCache>
                <c:ptCount val="1"/>
                <c:pt idx="0">
                  <c:v>Iran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CrudeByOrigin_F5!$B$6:$G$6</c:f>
              <c:numCache>
                <c:formatCode>0.0</c:formatCode>
                <c:ptCount val="6"/>
                <c:pt idx="0">
                  <c:v>0.43239036065573772</c:v>
                </c:pt>
                <c:pt idx="1">
                  <c:v>0.83428752602739731</c:v>
                </c:pt>
                <c:pt idx="2">
                  <c:v>0.98526006301369851</c:v>
                </c:pt>
                <c:pt idx="3">
                  <c:v>1.4844207041095889</c:v>
                </c:pt>
                <c:pt idx="4">
                  <c:v>1.455177295081967</c:v>
                </c:pt>
                <c:pt idx="5">
                  <c:v>1.5942041602209944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89-4B3A-992E-D8D0FB94889B}"/>
            </c:ext>
          </c:extLst>
        </c:ser>
        <c:ser>
          <c:idx val="4"/>
          <c:order val="4"/>
          <c:tx>
            <c:strRef>
              <c:f>CrudeByOrigin_F5!$A$7</c:f>
              <c:strCache>
                <c:ptCount val="1"/>
                <c:pt idx="0">
                  <c:v>Kuwait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CrudeByOrigin_F5!$B$7:$G$7</c:f>
              <c:numCache>
                <c:formatCode>0.0</c:formatCode>
                <c:ptCount val="6"/>
                <c:pt idx="0">
                  <c:v>1.8661768989071039</c:v>
                </c:pt>
                <c:pt idx="1">
                  <c:v>1.8153720739726027</c:v>
                </c:pt>
                <c:pt idx="2">
                  <c:v>1.8464696246575343</c:v>
                </c:pt>
                <c:pt idx="3">
                  <c:v>1.6210012356164383</c:v>
                </c:pt>
                <c:pt idx="4">
                  <c:v>1.3840874453551912</c:v>
                </c:pt>
                <c:pt idx="5">
                  <c:v>1.4900131049723755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89-4B3A-992E-D8D0FB94889B}"/>
            </c:ext>
          </c:extLst>
        </c:ser>
        <c:ser>
          <c:idx val="5"/>
          <c:order val="5"/>
          <c:tx>
            <c:strRef>
              <c:f>CrudeByOrigin_F5!$A$8</c:f>
              <c:strCache>
                <c:ptCount val="1"/>
                <c:pt idx="0">
                  <c:v>Qatar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CrudeByOrigin_F5!$B$8:$G$8</c:f>
              <c:numCache>
                <c:formatCode>0.0</c:formatCode>
                <c:ptCount val="6"/>
                <c:pt idx="0">
                  <c:v>0.76922043715846988</c:v>
                </c:pt>
                <c:pt idx="1">
                  <c:v>0.66021157534246577</c:v>
                </c:pt>
                <c:pt idx="2">
                  <c:v>0.65391078356164378</c:v>
                </c:pt>
                <c:pt idx="3">
                  <c:v>0.69208409315068486</c:v>
                </c:pt>
                <c:pt idx="4">
                  <c:v>0.65503665573770486</c:v>
                </c:pt>
                <c:pt idx="5">
                  <c:v>0.66269588950276248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89-4B3A-992E-D8D0FB94889B}"/>
            </c:ext>
          </c:extLst>
        </c:ser>
        <c:ser>
          <c:idx val="6"/>
          <c:order val="6"/>
          <c:tx>
            <c:strRef>
              <c:f>CrudeByOrigin_F5!$A$9</c:f>
              <c:strCache>
                <c:ptCount val="1"/>
                <c:pt idx="0">
                  <c:v> other 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CrudeByOrigin_F5!$B$2:$G$2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1H25</c:v>
                </c:pt>
              </c:strCache>
            </c:strRef>
          </c:cat>
          <c:val>
            <c:numRef>
              <c:f>CrudeByOrigin_F5!$B$9:$G$9</c:f>
              <c:numCache>
                <c:formatCode>_(* #,##0.0_);_(* \(#,##0.0\);_(* "-"??_);_(@_)</c:formatCode>
                <c:ptCount val="6"/>
                <c:pt idx="0">
                  <c:v>0.1575673442622951</c:v>
                </c:pt>
                <c:pt idx="1">
                  <c:v>0.11281567671232877</c:v>
                </c:pt>
                <c:pt idx="2">
                  <c:v>0.11757219726027397</c:v>
                </c:pt>
                <c:pt idx="3">
                  <c:v>0.11415254246575342</c:v>
                </c:pt>
                <c:pt idx="4">
                  <c:v>9.4544800546448093E-2</c:v>
                </c:pt>
                <c:pt idx="5">
                  <c:v>0.10937826519337017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89-4B3A-992E-D8D0FB94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100"/>
        <c:axId val="477923072"/>
        <c:axId val="477924192"/>
      </c:barChart>
      <c:catAx>
        <c:axId val="47792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4192"/>
        <c:crosses val="autoZero"/>
        <c:auto val="1"/>
        <c:lblAlgn val="ctr"/>
        <c:lblOffset val="100"/>
        <c:noMultiLvlLbl val="0"/>
      </c:catAx>
      <c:valAx>
        <c:axId val="4779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2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474612718797898"/>
          <c:y val="0.20154095485629728"/>
          <c:w val="0.46525387281202102"/>
          <c:h val="0.65933569052790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531812</xdr:colOff>
      <xdr:row>17</xdr:row>
      <xdr:rowOff>161637</xdr:rowOff>
    </xdr:from>
    <xdr:to>
      <xdr:col>9</xdr:col>
      <xdr:colOff>547687</xdr:colOff>
      <xdr:row>32</xdr:row>
      <xdr:rowOff>15876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40CBB-5A15-49ED-8FA8-78D02602B1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150813</xdr:colOff>
      <xdr:row>17</xdr:row>
      <xdr:rowOff>114733</xdr:rowOff>
    </xdr:from>
    <xdr:to>
      <xdr:col>5</xdr:col>
      <xdr:colOff>682625</xdr:colOff>
      <xdr:row>32</xdr:row>
      <xdr:rowOff>55563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E388B6-DF89-4E07-9031-FF737F796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254000</xdr:colOff>
      <xdr:row>17</xdr:row>
      <xdr:rowOff>152400</xdr:rowOff>
    </xdr:from>
    <xdr:to>
      <xdr:col>7</xdr:col>
      <xdr:colOff>629195</xdr:colOff>
      <xdr:row>19</xdr:row>
      <xdr:rowOff>71490</xdr:rowOff>
    </xdr:to>
    <xdr:pic>
      <xdr:nvPicPr>
        <xdr:cNvPr id="4" name="Picture 3" descr="Logo, icon&#10;&#10;Description automatically generated">
          <a:extLst>
            <a:ext uri="{FF2B5EF4-FFF2-40B4-BE49-F238E27FC236}">
              <a16:creationId xmlns:a16="http://schemas.microsoft.com/office/drawing/2014/main" id="{6FC37BBE-AB20-4E44-B71B-3BE8B848D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2375" y="3886200"/>
          <a:ext cx="375195" cy="281040"/>
        </a:xfrm>
        <a:prstGeom prst="rect">
          <a:avLst/>
        </a:prstGeom>
      </xdr:spPr>
    </xdr:pic>
    <xdr:clientData/>
  </xdr:twoCellAnchor>
  <xdr:twoCellAnchor>
    <xdr:from>
      <xdr:col>0</xdr:col>
      <xdr:colOff>862012</xdr:colOff>
      <xdr:row>31</xdr:row>
      <xdr:rowOff>173037</xdr:rowOff>
    </xdr:from>
    <xdr:to>
      <xdr:col>7</xdr:col>
      <xdr:colOff>291089</xdr:colOff>
      <xdr:row>34</xdr:row>
      <xdr:rowOff>23812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6989D394-420A-4A2D-96D9-8CFFE5888DFF}"/>
            </a:ext>
          </a:extLst>
        </xdr:cNvPr>
        <xdr:cNvSpPr txBox="1"/>
      </xdr:nvSpPr>
      <xdr:spPr bwMode="auto">
        <a:xfrm>
          <a:off x="862012" y="6475412"/>
          <a:ext cx="5461577" cy="39846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900" b="0" i="0">
              <a:effectLst/>
              <a:latin typeface="+mn-lt"/>
              <a:ea typeface="+mn-ea"/>
              <a:cs typeface="+mn-cs"/>
            </a:rPr>
            <a:t>Data source: U.S. Energy Information Administration analysis based on Vortexa</a:t>
          </a:r>
        </a:p>
        <a:p>
          <a:pPr eaLnBrk="0" hangingPunct="0"/>
          <a:r>
            <a:rPr lang="en-US" sz="900" b="0" i="0">
              <a:effectLst/>
              <a:latin typeface="+mn-lt"/>
              <a:ea typeface="+mn-ea"/>
              <a:cs typeface="+mn-cs"/>
            </a:rPr>
            <a:t>Notes: 1H25= first half 2025.  Dates are based on loading date.</a:t>
          </a:r>
        </a:p>
      </xdr:txBody>
    </xdr:sp>
    <xdr:clientData/>
  </xdr:twoCellAnchor>
  <xdr:twoCellAnchor>
    <xdr:from>
      <xdr:col>0</xdr:col>
      <xdr:colOff>105351</xdr:colOff>
      <xdr:row>16</xdr:row>
      <xdr:rowOff>65665</xdr:rowOff>
    </xdr:from>
    <xdr:to>
      <xdr:col>6</xdr:col>
      <xdr:colOff>314325</xdr:colOff>
      <xdr:row>19</xdr:row>
      <xdr:rowOff>29638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D5E2A56E-9F5E-4172-BF60-8486D1DC760F}"/>
            </a:ext>
          </a:extLst>
        </xdr:cNvPr>
        <xdr:cNvSpPr txBox="1"/>
      </xdr:nvSpPr>
      <xdr:spPr bwMode="auto">
        <a:xfrm>
          <a:off x="105351" y="3875665"/>
          <a:ext cx="3566537" cy="5116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7432" rIns="27432" bIns="27432" rtlCol="0">
          <a:prstTxWarp prst="textNoShape">
            <a:avLst/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eaLnBrk="0" hangingPunct="0"/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Figure 5. Volume of crude oil and condensate </a:t>
          </a:r>
          <a:r>
            <a:rPr lang="en-US" sz="1000" b="1" i="0" baseline="0">
              <a:solidFill>
                <a:schemeClr val="accent6">
                  <a:lumMod val="50000"/>
                </a:schemeClr>
              </a:solidFill>
              <a:latin typeface="+mn-lt"/>
              <a:ea typeface="Times New Roman" charset="0"/>
              <a:cs typeface="Times New Roman" charset="0"/>
            </a:rPr>
            <a:t>transported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</a:t>
          </a:r>
          <a:r>
            <a:rPr lang="en-US" sz="1000" b="1" i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through the Strait</a:t>
          </a:r>
          <a:r>
            <a:rPr lang="en-US" sz="1000" b="1" i="0" baseline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 of Hormuz</a:t>
          </a:r>
          <a:endParaRPr lang="en-US" sz="1000" i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0.03966</cdr:x>
      <cdr:y>0.05647</cdr:y>
    </cdr:from>
    <cdr:to>
      <cdr:x>1</cdr:x>
      <cdr:y>0.20536</cdr:y>
    </cdr:to>
    <cdr:sp macro="" textlink="">
      <cdr:nvSpPr>
        <cdr:cNvPr id="4" name="TextBox 1"/>
        <cdr:cNvSpPr txBox="1"/>
      </cdr:nvSpPr>
      <cdr:spPr bwMode="auto">
        <a:xfrm xmlns:a="http://schemas.openxmlformats.org/drawingml/2006/main">
          <a:off x="127001" y="137973"/>
          <a:ext cx="3075421" cy="3637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wrap="none" lIns="27432" tIns="27432" rIns="27432" bIns="27432" rtlCol="0">
          <a:prstTxWarp prst="textNoShape">
            <a:avLst/>
          </a:prstTxWarp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destination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0.07595</cdr:y>
    </cdr:from>
    <cdr:to>
      <cdr:x>1</cdr:x>
      <cdr:y>0.22495</cdr:y>
    </cdr:to>
    <cdr:sp macro="" textlink="">
      <cdr:nvSpPr>
        <cdr:cNvPr id="2" name="TextBox 1"/>
        <cdr:cNvSpPr txBox="1"/>
      </cdr:nvSpPr>
      <cdr:spPr bwMode="auto">
        <a:xfrm xmlns:a="http://schemas.openxmlformats.org/drawingml/2006/main">
          <a:off x="0" y="195643"/>
          <a:ext cx="2555875" cy="3838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none" lIns="27432" tIns="27432" rIns="27432" bIns="27432" rtlCol="0">
          <a:prstTxWarp prst="textNoShape">
            <a:avLst/>
          </a:prstTxWarp>
        </a:bodyPr>
        <a:lstStyle xmlns:a="http://schemas.openxmlformats.org/drawingml/2006/main"/>
        <a:p xmlns:a="http://schemas.openxmlformats.org/drawingml/2006/main">
          <a:pPr eaLnBrk="0" hangingPunct="0"/>
          <a:r>
            <a:rPr lang="en-US" sz="1000" b="1" i="0" baseline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by origin</a:t>
          </a:r>
          <a:endParaRPr lang="en-US" sz="1000" b="1" i="0" dirty="0">
            <a:solidFill>
              <a:schemeClr val="tx1"/>
            </a:solidFill>
            <a:latin typeface="+mn-lt"/>
            <a:ea typeface="Times New Roman" charset="0"/>
            <a:cs typeface="Times New Roman" charset="0"/>
          </a:endParaRPr>
        </a:p>
        <a:p xmlns:a="http://schemas.openxmlformats.org/drawingml/2006/main">
          <a:pPr eaLnBrk="0" hangingPunct="0"/>
          <a:r>
            <a:rPr lang="en-US" sz="1000" i="0" dirty="0">
              <a:solidFill>
                <a:schemeClr val="tx1"/>
              </a:solidFill>
              <a:latin typeface="+mn-lt"/>
              <a:ea typeface="Times New Roman" charset="0"/>
              <a:cs typeface="Times New Roman" charset="0"/>
            </a:rPr>
            <a:t>million barrels per day</a:t>
          </a:r>
        </a:p>
      </cdr:txBody>
    </cdr:sp>
  </cdr:relSizeAnchor>
</c:userShape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230A-288C-42CE-8209-CD62A6DE9A5C}">
  <dimension ref="A1:G16"/>
  <sheetViews>
    <sheetView workbookViewId="0">
      <selection activeCell="H18" sqref="H18"/>
    </sheetView>
  </sheetViews>
  <sheetFormatPr defaultRowHeight="14.25" x14ac:dyDescent="0.2"/>
  <cols>
    <col min="1" max="1" width="30.875" bestFit="1" customWidth="1"/>
  </cols>
  <sheetData>
    <row r="1" spans="1:7" ht="16.5" thickBot="1" x14ac:dyDescent="0.3">
      <c r="A1" s="19" t="s">
        <v>20</v>
      </c>
      <c r="B1" s="20">
        <v>2020</v>
      </c>
      <c r="C1" s="20">
        <v>2021</v>
      </c>
      <c r="D1" s="20">
        <v>2022</v>
      </c>
      <c r="E1" s="20">
        <v>2023</v>
      </c>
      <c r="F1" s="20">
        <v>2024</v>
      </c>
      <c r="G1" s="20" t="s">
        <v>17</v>
      </c>
    </row>
    <row r="2" spans="1:7" ht="16.5" thickTop="1" thickBot="1" x14ac:dyDescent="0.25">
      <c r="A2" s="21" t="s">
        <v>21</v>
      </c>
      <c r="B2" s="22">
        <v>22.8</v>
      </c>
      <c r="C2" s="22">
        <v>22.1</v>
      </c>
      <c r="D2" s="22">
        <v>23</v>
      </c>
      <c r="E2" s="22">
        <v>24</v>
      </c>
      <c r="F2" s="22">
        <v>22.5</v>
      </c>
      <c r="G2" s="22">
        <v>23.2</v>
      </c>
    </row>
    <row r="3" spans="1:7" ht="15.75" thickBot="1" x14ac:dyDescent="0.25">
      <c r="A3" s="23" t="s">
        <v>22</v>
      </c>
      <c r="B3" s="24">
        <v>19.2</v>
      </c>
      <c r="C3" s="24">
        <v>19.7</v>
      </c>
      <c r="D3" s="24">
        <v>21.9</v>
      </c>
      <c r="E3" s="24">
        <v>21.8</v>
      </c>
      <c r="F3" s="24">
        <v>20.7</v>
      </c>
      <c r="G3" s="24">
        <v>20.9</v>
      </c>
    </row>
    <row r="4" spans="1:7" ht="15.75" thickBot="1" x14ac:dyDescent="0.25">
      <c r="A4" s="23" t="s">
        <v>23</v>
      </c>
      <c r="B4" s="24">
        <v>5.4</v>
      </c>
      <c r="C4" s="24">
        <v>5.2</v>
      </c>
      <c r="D4" s="24">
        <v>7.3</v>
      </c>
      <c r="E4" s="24">
        <v>8.8000000000000007</v>
      </c>
      <c r="F4" s="24">
        <v>4.8</v>
      </c>
      <c r="G4" s="24">
        <v>4.9000000000000004</v>
      </c>
    </row>
    <row r="5" spans="1:7" ht="15.75" thickBot="1" x14ac:dyDescent="0.25">
      <c r="A5" s="23" t="s">
        <v>24</v>
      </c>
      <c r="B5" s="24">
        <v>5.7</v>
      </c>
      <c r="C5" s="24">
        <v>6</v>
      </c>
      <c r="D5" s="24">
        <v>8</v>
      </c>
      <c r="E5" s="24">
        <v>9.3000000000000007</v>
      </c>
      <c r="F5" s="24">
        <v>4.0999999999999996</v>
      </c>
      <c r="G5" s="24">
        <v>4.2</v>
      </c>
    </row>
    <row r="6" spans="1:7" ht="18.75" thickBot="1" x14ac:dyDescent="0.25">
      <c r="A6" s="23" t="s">
        <v>25</v>
      </c>
      <c r="B6" s="24">
        <v>3.1</v>
      </c>
      <c r="C6" s="24">
        <v>3.1</v>
      </c>
      <c r="D6" s="24">
        <v>4.2</v>
      </c>
      <c r="E6" s="24">
        <v>5</v>
      </c>
      <c r="F6" s="24">
        <v>4.9000000000000004</v>
      </c>
      <c r="G6" s="24">
        <v>4.9000000000000004</v>
      </c>
    </row>
    <row r="7" spans="1:7" ht="15.75" thickBot="1" x14ac:dyDescent="0.25">
      <c r="A7" s="23" t="s">
        <v>26</v>
      </c>
      <c r="B7" s="24">
        <v>3.2</v>
      </c>
      <c r="C7" s="24">
        <v>3.3</v>
      </c>
      <c r="D7" s="24">
        <v>3.2</v>
      </c>
      <c r="E7" s="24">
        <v>3.5</v>
      </c>
      <c r="F7" s="24">
        <v>3.6</v>
      </c>
      <c r="G7" s="24">
        <v>3.7</v>
      </c>
    </row>
    <row r="8" spans="1:7" ht="18.75" thickBot="1" x14ac:dyDescent="0.25">
      <c r="A8" s="23" t="s">
        <v>27</v>
      </c>
      <c r="B8" s="24">
        <v>1.7</v>
      </c>
      <c r="C8" s="24">
        <v>1.8</v>
      </c>
      <c r="D8" s="24">
        <v>2.2000000000000002</v>
      </c>
      <c r="E8" s="24">
        <v>2.2000000000000002</v>
      </c>
      <c r="F8" s="24">
        <v>2</v>
      </c>
      <c r="G8" s="24">
        <v>2.2999999999999998</v>
      </c>
    </row>
    <row r="9" spans="1:7" ht="15.75" thickBot="1" x14ac:dyDescent="0.25">
      <c r="A9" s="23" t="s">
        <v>28</v>
      </c>
      <c r="B9" s="24">
        <v>7.9</v>
      </c>
      <c r="C9" s="24">
        <v>7.2</v>
      </c>
      <c r="D9" s="24">
        <v>6.1</v>
      </c>
      <c r="E9" s="24">
        <v>6.2</v>
      </c>
      <c r="F9" s="24">
        <v>9.3000000000000007</v>
      </c>
      <c r="G9" s="24">
        <v>9.1</v>
      </c>
    </row>
    <row r="10" spans="1:7" ht="16.5" thickBot="1" x14ac:dyDescent="0.25">
      <c r="A10" s="25"/>
      <c r="B10" s="26"/>
      <c r="C10" s="26"/>
      <c r="D10" s="26"/>
      <c r="E10" s="26"/>
      <c r="F10" s="26"/>
      <c r="G10" s="26"/>
    </row>
    <row r="11" spans="1:7" ht="16.5" thickBot="1" x14ac:dyDescent="0.25">
      <c r="A11" s="25"/>
      <c r="B11" s="26"/>
      <c r="C11" s="26"/>
      <c r="D11" s="26"/>
      <c r="E11" s="26"/>
      <c r="F11" s="26"/>
      <c r="G11" s="26"/>
    </row>
    <row r="12" spans="1:7" ht="45" customHeight="1" thickTop="1" x14ac:dyDescent="0.2">
      <c r="A12" s="33"/>
      <c r="B12" s="33"/>
      <c r="C12" s="33"/>
      <c r="D12" s="33"/>
      <c r="E12" s="33"/>
      <c r="F12" s="33"/>
      <c r="G12" s="33"/>
    </row>
    <row r="13" spans="1:7" ht="30.75" customHeight="1" x14ac:dyDescent="0.2">
      <c r="A13" s="34"/>
      <c r="B13" s="34"/>
      <c r="C13" s="34"/>
      <c r="D13" s="34"/>
      <c r="E13" s="34"/>
      <c r="F13" s="34"/>
      <c r="G13" s="34"/>
    </row>
    <row r="14" spans="1:7" ht="15" customHeight="1" x14ac:dyDescent="0.2">
      <c r="A14" s="34"/>
      <c r="B14" s="34"/>
      <c r="C14" s="34"/>
      <c r="D14" s="34"/>
      <c r="E14" s="34"/>
      <c r="F14" s="34"/>
      <c r="G14" s="34"/>
    </row>
    <row r="15" spans="1:7" ht="15.75" thickBot="1" x14ac:dyDescent="0.25">
      <c r="A15" s="32"/>
      <c r="B15" s="32"/>
      <c r="C15" s="32"/>
      <c r="D15" s="32"/>
      <c r="E15" s="32"/>
      <c r="F15" s="32"/>
      <c r="G15" s="32"/>
    </row>
    <row r="16" spans="1:7" ht="15" thickTop="1" x14ac:dyDescent="0.2"/>
  </sheetData>
  <mergeCells count="4">
    <mergeCell ref="A15:G15"/>
    <mergeCell ref="A12:G12"/>
    <mergeCell ref="A13:G13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02AE6-F132-4BB6-9FCF-6E065701A894}">
  <dimension ref="A1:G10"/>
  <sheetViews>
    <sheetView workbookViewId="0">
      <selection activeCell="C29" sqref="C29"/>
    </sheetView>
  </sheetViews>
  <sheetFormatPr defaultRowHeight="14.25" x14ac:dyDescent="0.2"/>
  <cols>
    <col min="1" max="1" width="32.625" style="31" customWidth="1"/>
  </cols>
  <sheetData>
    <row r="1" spans="1:7" ht="36.75" customHeight="1" x14ac:dyDescent="0.2">
      <c r="A1" s="35" t="s">
        <v>31</v>
      </c>
      <c r="B1" s="36"/>
      <c r="C1" s="36"/>
      <c r="D1" s="36"/>
      <c r="E1" s="36"/>
      <c r="F1" s="36"/>
      <c r="G1" s="36"/>
    </row>
    <row r="2" spans="1:7" ht="30" customHeight="1" x14ac:dyDescent="0.2">
      <c r="A2" s="37" t="s">
        <v>18</v>
      </c>
      <c r="B2" s="37"/>
      <c r="C2" s="37"/>
      <c r="D2" s="37"/>
      <c r="E2" s="37"/>
      <c r="F2" s="37"/>
      <c r="G2" s="37"/>
    </row>
    <row r="3" spans="1:7" ht="16.5" thickBot="1" x14ac:dyDescent="0.3">
      <c r="A3" s="19"/>
      <c r="B3" s="20">
        <v>2020</v>
      </c>
      <c r="C3" s="20">
        <v>2021</v>
      </c>
      <c r="D3" s="20">
        <v>2022</v>
      </c>
      <c r="E3" s="20">
        <v>2023</v>
      </c>
      <c r="F3" s="20">
        <v>2024</v>
      </c>
      <c r="G3" s="20" t="s">
        <v>17</v>
      </c>
    </row>
    <row r="4" spans="1:7" ht="33" thickTop="1" thickBot="1" x14ac:dyDescent="0.25">
      <c r="A4" s="27" t="s">
        <v>32</v>
      </c>
      <c r="B4" s="28">
        <v>19.2</v>
      </c>
      <c r="C4" s="28">
        <v>19.7</v>
      </c>
      <c r="D4" s="28">
        <v>21.9</v>
      </c>
      <c r="E4" s="28">
        <v>21.8</v>
      </c>
      <c r="F4" s="28">
        <v>20.7</v>
      </c>
      <c r="G4" s="28">
        <v>20.9</v>
      </c>
    </row>
    <row r="5" spans="1:7" ht="15.75" thickBot="1" x14ac:dyDescent="0.25">
      <c r="A5" s="23" t="s">
        <v>29</v>
      </c>
      <c r="B5" s="24">
        <v>14.4</v>
      </c>
      <c r="C5" s="24">
        <v>14.7</v>
      </c>
      <c r="D5" s="24">
        <v>16.2</v>
      </c>
      <c r="E5" s="24">
        <v>15.8</v>
      </c>
      <c r="F5" s="24">
        <v>14.6</v>
      </c>
      <c r="G5" s="24">
        <v>14.7</v>
      </c>
    </row>
    <row r="6" spans="1:7" ht="15.75" thickBot="1" x14ac:dyDescent="0.25">
      <c r="A6" s="23" t="s">
        <v>30</v>
      </c>
      <c r="B6" s="24">
        <v>4.8</v>
      </c>
      <c r="C6" s="24">
        <v>5.0999999999999996</v>
      </c>
      <c r="D6" s="24">
        <v>5.6</v>
      </c>
      <c r="E6" s="24">
        <v>6</v>
      </c>
      <c r="F6" s="24">
        <v>6.1</v>
      </c>
      <c r="G6" s="24">
        <v>6.1</v>
      </c>
    </row>
    <row r="7" spans="1:7" ht="48" thickBot="1" x14ac:dyDescent="0.25">
      <c r="A7" s="29" t="s">
        <v>33</v>
      </c>
      <c r="B7" s="30">
        <v>10.7</v>
      </c>
      <c r="C7" s="30">
        <v>10.8</v>
      </c>
      <c r="D7" s="30">
        <v>11</v>
      </c>
      <c r="E7" s="30">
        <v>10.6</v>
      </c>
      <c r="F7" s="30">
        <v>10.5</v>
      </c>
      <c r="G7" s="30">
        <v>11.4</v>
      </c>
    </row>
    <row r="8" spans="1:7" ht="30.75" customHeight="1" thickTop="1" x14ac:dyDescent="0.2">
      <c r="A8" s="38" t="s">
        <v>34</v>
      </c>
      <c r="B8" s="38"/>
      <c r="C8" s="38"/>
      <c r="D8" s="38"/>
      <c r="E8" s="38"/>
      <c r="F8" s="38"/>
      <c r="G8" s="38"/>
    </row>
    <row r="9" spans="1:7" ht="15.75" customHeight="1" thickBot="1" x14ac:dyDescent="0.25">
      <c r="A9" s="32" t="s">
        <v>35</v>
      </c>
      <c r="B9" s="32"/>
      <c r="C9" s="32"/>
      <c r="D9" s="32"/>
      <c r="E9" s="32"/>
      <c r="F9" s="32"/>
      <c r="G9" s="32"/>
    </row>
    <row r="10" spans="1:7" ht="15" thickTop="1" x14ac:dyDescent="0.2"/>
  </sheetData>
  <mergeCells count="4">
    <mergeCell ref="A1:G1"/>
    <mergeCell ref="A2:G2"/>
    <mergeCell ref="A8:G8"/>
    <mergeCell ref="A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D4D3-5A17-4806-8F04-FFBDC97C8D21}">
  <dimension ref="A1:G17"/>
  <sheetViews>
    <sheetView showGridLines="0" zoomScale="110" zoomScaleNormal="110" workbookViewId="0">
      <selection activeCell="C17" sqref="C17"/>
    </sheetView>
  </sheetViews>
  <sheetFormatPr defaultColWidth="28.25" defaultRowHeight="14.25" x14ac:dyDescent="0.2"/>
  <cols>
    <col min="1" max="1" width="35.875" style="2" customWidth="1"/>
    <col min="2" max="5" width="10.875" style="2" customWidth="1"/>
    <col min="6" max="7" width="10.75" style="2" customWidth="1"/>
    <col min="8" max="16384" width="28.25" style="2"/>
  </cols>
  <sheetData>
    <row r="1" spans="1:7" x14ac:dyDescent="0.2">
      <c r="A1" s="18" t="s">
        <v>19</v>
      </c>
      <c r="B1" s="1"/>
      <c r="C1" s="1"/>
      <c r="D1" s="1"/>
      <c r="E1" s="1"/>
    </row>
    <row r="2" spans="1:7" ht="15" thickBot="1" x14ac:dyDescent="0.25">
      <c r="A2" s="17" t="s">
        <v>18</v>
      </c>
      <c r="B2" s="3">
        <v>2020</v>
      </c>
      <c r="C2" s="3">
        <v>2021</v>
      </c>
      <c r="D2" s="3">
        <v>2022</v>
      </c>
      <c r="E2" s="3">
        <v>2023</v>
      </c>
      <c r="F2" s="3">
        <v>2024</v>
      </c>
      <c r="G2" s="4" t="s">
        <v>17</v>
      </c>
    </row>
    <row r="3" spans="1:7" ht="15.75" thickTop="1" thickBot="1" x14ac:dyDescent="0.25">
      <c r="A3" s="5" t="s">
        <v>9</v>
      </c>
      <c r="B3" s="6">
        <v>6.262144696721311</v>
      </c>
      <c r="C3" s="6">
        <v>6.3827651698630143</v>
      </c>
      <c r="D3" s="6">
        <v>6.9403563945205473</v>
      </c>
      <c r="E3" s="6">
        <v>6.2993309123287675</v>
      </c>
      <c r="F3" s="6">
        <v>5.5884214972677597</v>
      </c>
      <c r="G3" s="6">
        <v>5.5530155966850829</v>
      </c>
    </row>
    <row r="4" spans="1:7" ht="15" thickBot="1" x14ac:dyDescent="0.25">
      <c r="A4" s="5" t="s">
        <v>11</v>
      </c>
      <c r="B4" s="6">
        <v>2.8849256693989069</v>
      </c>
      <c r="C4" s="6">
        <v>2.8651327123287671</v>
      </c>
      <c r="D4" s="6">
        <v>3.2106692958904111</v>
      </c>
      <c r="E4" s="6">
        <v>3.2563744657534244</v>
      </c>
      <c r="F4" s="6">
        <v>3.2652996448087435</v>
      </c>
      <c r="G4" s="6">
        <v>3.2847029171270723</v>
      </c>
    </row>
    <row r="5" spans="1:7" ht="15" thickBot="1" x14ac:dyDescent="0.25">
      <c r="A5" s="5" t="s">
        <v>12</v>
      </c>
      <c r="B5" s="6">
        <v>2.0282292595628415</v>
      </c>
      <c r="C5" s="6">
        <v>1.9820665945205478</v>
      </c>
      <c r="D5" s="6">
        <v>2.4832279369863013</v>
      </c>
      <c r="E5" s="6">
        <v>2.3450388657534247</v>
      </c>
      <c r="F5" s="6">
        <v>2.19697525136612</v>
      </c>
      <c r="G5" s="6">
        <v>2.0522827679558011</v>
      </c>
    </row>
    <row r="6" spans="1:7" ht="15" thickBot="1" x14ac:dyDescent="0.25">
      <c r="A6" s="5" t="s">
        <v>13</v>
      </c>
      <c r="B6" s="6">
        <v>0.43239036065573772</v>
      </c>
      <c r="C6" s="6">
        <v>0.83428752602739731</v>
      </c>
      <c r="D6" s="6">
        <v>0.98526006301369851</v>
      </c>
      <c r="E6" s="6">
        <v>1.4844207041095889</v>
      </c>
      <c r="F6" s="6">
        <v>1.455177295081967</v>
      </c>
      <c r="G6" s="6">
        <v>1.5942041602209944</v>
      </c>
    </row>
    <row r="7" spans="1:7" ht="15" thickBot="1" x14ac:dyDescent="0.25">
      <c r="A7" s="5" t="s">
        <v>14</v>
      </c>
      <c r="B7" s="6">
        <v>1.8661768989071039</v>
      </c>
      <c r="C7" s="6">
        <v>1.8153720739726027</v>
      </c>
      <c r="D7" s="6">
        <v>1.8464696246575343</v>
      </c>
      <c r="E7" s="6">
        <v>1.6210012356164383</v>
      </c>
      <c r="F7" s="6">
        <v>1.3840874453551912</v>
      </c>
      <c r="G7" s="6">
        <v>1.4900131049723755</v>
      </c>
    </row>
    <row r="8" spans="1:7" ht="15" thickBot="1" x14ac:dyDescent="0.25">
      <c r="A8" s="5" t="s">
        <v>15</v>
      </c>
      <c r="B8" s="6">
        <v>0.76922043715846988</v>
      </c>
      <c r="C8" s="6">
        <v>0.66021157534246577</v>
      </c>
      <c r="D8" s="6">
        <v>0.65391078356164378</v>
      </c>
      <c r="E8" s="6">
        <v>0.69208409315068486</v>
      </c>
      <c r="F8" s="6">
        <v>0.65503665573770486</v>
      </c>
      <c r="G8" s="6">
        <v>0.66269588950276248</v>
      </c>
    </row>
    <row r="9" spans="1:7" ht="15" customHeight="1" thickBot="1" x14ac:dyDescent="0.25">
      <c r="A9" s="7" t="s">
        <v>10</v>
      </c>
      <c r="B9" s="8">
        <v>0.1575673442622951</v>
      </c>
      <c r="C9" s="8">
        <v>0.11281567671232877</v>
      </c>
      <c r="D9" s="8">
        <v>0.11757219726027397</v>
      </c>
      <c r="E9" s="8">
        <v>0.11415254246575342</v>
      </c>
      <c r="F9" s="8">
        <v>9.4544800546448093E-2</v>
      </c>
      <c r="G9" s="8">
        <v>0.10937826519337017</v>
      </c>
    </row>
    <row r="10" spans="1:7" ht="15" thickTop="1" x14ac:dyDescent="0.2">
      <c r="A10" s="39" t="s">
        <v>16</v>
      </c>
      <c r="B10" s="39"/>
      <c r="C10" s="39"/>
      <c r="D10" s="39"/>
      <c r="E10" s="39"/>
      <c r="F10" s="39"/>
    </row>
    <row r="11" spans="1:7" s="9" customFormat="1" ht="17.25" customHeight="1" x14ac:dyDescent="0.2">
      <c r="A11" s="40" t="s">
        <v>0</v>
      </c>
      <c r="B11" s="40"/>
      <c r="C11" s="40"/>
      <c r="D11" s="40"/>
      <c r="E11" s="40"/>
      <c r="F11" s="40"/>
    </row>
    <row r="12" spans="1:7" ht="14.25" customHeight="1" x14ac:dyDescent="0.2"/>
    <row r="14" spans="1:7" x14ac:dyDescent="0.2">
      <c r="B14" s="10"/>
      <c r="C14" s="11"/>
      <c r="D14" s="11"/>
      <c r="E14" s="11"/>
      <c r="F14" s="12"/>
      <c r="G14" s="13"/>
    </row>
    <row r="16" spans="1:7" x14ac:dyDescent="0.2">
      <c r="D16" s="14"/>
      <c r="F16" s="15"/>
    </row>
    <row r="17" spans="1:1" ht="15" x14ac:dyDescent="0.25">
      <c r="A17" s="16" t="s">
        <v>1</v>
      </c>
    </row>
  </sheetData>
  <mergeCells count="2">
    <mergeCell ref="A10:F10"/>
    <mergeCell ref="A11:F11"/>
  </mergeCells>
  <pageMargins left="0.7" right="0.7" top="0.75" bottom="0.75" header="0.3" footer="0.3"/>
  <pageSetup orientation="portrait" verticalDpi="599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D00F-D007-4090-82F4-48EEBF5829FF}">
  <dimension ref="A1:M18"/>
  <sheetViews>
    <sheetView showGridLines="0" tabSelected="1" zoomScale="85" zoomScaleNormal="85" workbookViewId="0">
      <selection activeCell="E7" sqref="E7"/>
    </sheetView>
  </sheetViews>
  <sheetFormatPr defaultColWidth="28.25" defaultRowHeight="14.25" x14ac:dyDescent="0.2"/>
  <cols>
    <col min="1" max="3" width="14.75" style="2" customWidth="1"/>
    <col min="4" max="4" width="7.625" style="2" customWidth="1"/>
    <col min="5" max="7" width="10.875" style="2" customWidth="1"/>
    <col min="8" max="9" width="10.75" style="2" customWidth="1"/>
    <col min="10" max="16384" width="28.25" style="2"/>
  </cols>
  <sheetData>
    <row r="1" spans="1:13" ht="34.5" customHeight="1" thickBot="1" x14ac:dyDescent="0.25">
      <c r="A1" s="17" t="s">
        <v>36</v>
      </c>
      <c r="B1" s="17" t="s">
        <v>37</v>
      </c>
      <c r="C1" s="17" t="s">
        <v>38</v>
      </c>
      <c r="D1" s="3">
        <v>2020</v>
      </c>
      <c r="E1" s="3">
        <v>2021</v>
      </c>
      <c r="F1" s="3">
        <v>2022</v>
      </c>
      <c r="G1" s="3">
        <v>2023</v>
      </c>
      <c r="H1" s="3">
        <v>2024</v>
      </c>
      <c r="I1" s="4" t="s">
        <v>17</v>
      </c>
    </row>
    <row r="2" spans="1:13" ht="16.5" thickTop="1" thickBot="1" x14ac:dyDescent="0.25">
      <c r="A2" s="5" t="s">
        <v>2</v>
      </c>
      <c r="B2" s="42">
        <v>35.861699999999999</v>
      </c>
      <c r="C2" s="42">
        <v>104.19540000000001</v>
      </c>
      <c r="D2" s="6">
        <v>4.1332567486338796</v>
      </c>
      <c r="E2" s="6">
        <v>4.2989880684931503</v>
      </c>
      <c r="F2" s="6">
        <v>4.6354549068493149</v>
      </c>
      <c r="G2" s="6">
        <v>5.1101603260273976</v>
      </c>
      <c r="H2" s="6">
        <v>4.9278413989071037</v>
      </c>
      <c r="I2" s="6">
        <v>5.3996813370165748</v>
      </c>
      <c r="K2" s="41" t="s">
        <v>39</v>
      </c>
      <c r="L2" s="41" t="s">
        <v>40</v>
      </c>
      <c r="M2" s="41" t="s">
        <v>41</v>
      </c>
    </row>
    <row r="3" spans="1:13" ht="15" thickBot="1" x14ac:dyDescent="0.25">
      <c r="A3" s="5" t="s">
        <v>3</v>
      </c>
      <c r="B3" s="42">
        <v>20.593699999999998</v>
      </c>
      <c r="C3" s="42">
        <v>78.962900000000005</v>
      </c>
      <c r="D3" s="6">
        <v>2.2462214699453553</v>
      </c>
      <c r="E3" s="6">
        <v>2.3293392082191779</v>
      </c>
      <c r="F3" s="6">
        <v>2.4459892821917806</v>
      </c>
      <c r="G3" s="6">
        <v>1.9991081315068495</v>
      </c>
      <c r="H3" s="6">
        <v>1.9209544808743169</v>
      </c>
      <c r="I3" s="6">
        <v>2.048842635359116</v>
      </c>
      <c r="K3" s="42" t="s">
        <v>2</v>
      </c>
      <c r="L3" s="42">
        <v>35.861699999999999</v>
      </c>
      <c r="M3" s="42">
        <v>104.19540000000001</v>
      </c>
    </row>
    <row r="4" spans="1:13" ht="15" thickBot="1" x14ac:dyDescent="0.25">
      <c r="A4" s="5" t="s">
        <v>4</v>
      </c>
      <c r="B4" s="42">
        <v>35.907800000000002</v>
      </c>
      <c r="C4" s="42">
        <v>127.76690000000001</v>
      </c>
      <c r="D4" s="6">
        <v>1.7232807185792349</v>
      </c>
      <c r="E4" s="6">
        <v>1.4763130383561642</v>
      </c>
      <c r="F4" s="6">
        <v>1.752610871232877</v>
      </c>
      <c r="G4" s="6">
        <v>1.8539291315068493</v>
      </c>
      <c r="H4" s="6">
        <v>1.8158729754098362</v>
      </c>
      <c r="I4" s="6">
        <v>1.7472554640883979</v>
      </c>
      <c r="K4" s="42" t="s">
        <v>3</v>
      </c>
      <c r="L4" s="42">
        <v>20.593699999999998</v>
      </c>
      <c r="M4" s="42">
        <v>78.962900000000005</v>
      </c>
    </row>
    <row r="5" spans="1:13" ht="15" thickBot="1" x14ac:dyDescent="0.25">
      <c r="A5" s="5" t="s">
        <v>5</v>
      </c>
      <c r="B5" s="42">
        <v>36.204799999999999</v>
      </c>
      <c r="C5" s="42">
        <v>138.25290000000001</v>
      </c>
      <c r="D5" s="6">
        <v>1.9847622786885246</v>
      </c>
      <c r="E5" s="6">
        <v>1.8945677726027399</v>
      </c>
      <c r="F5" s="6">
        <v>2.1395266575342466</v>
      </c>
      <c r="G5" s="6">
        <v>1.8861924657534246</v>
      </c>
      <c r="H5" s="6">
        <v>1.7241304863387976</v>
      </c>
      <c r="I5" s="6">
        <v>1.7047350828729282</v>
      </c>
      <c r="K5" s="42" t="s">
        <v>4</v>
      </c>
      <c r="L5" s="42">
        <v>35.907800000000002</v>
      </c>
      <c r="M5" s="42">
        <v>127.76690000000001</v>
      </c>
    </row>
    <row r="6" spans="1:13" ht="24.75" thickBot="1" x14ac:dyDescent="0.25">
      <c r="A6" s="5" t="s">
        <v>6</v>
      </c>
      <c r="B6" s="42"/>
      <c r="C6" s="42"/>
      <c r="D6" s="6">
        <v>2.0692568551912571</v>
      </c>
      <c r="E6" s="6">
        <v>2.1361368164383561</v>
      </c>
      <c r="F6" s="6">
        <v>2.3142453342465754</v>
      </c>
      <c r="G6" s="6">
        <v>2.1743953753424656</v>
      </c>
      <c r="H6" s="6">
        <v>2.1670378661202183</v>
      </c>
      <c r="I6" s="6">
        <v>2.2573845082872928</v>
      </c>
      <c r="K6" s="42" t="s">
        <v>5</v>
      </c>
      <c r="L6" s="42">
        <v>36.204799999999999</v>
      </c>
      <c r="M6" s="42">
        <v>138.25290000000001</v>
      </c>
    </row>
    <row r="7" spans="1:13" ht="15" thickBot="1" x14ac:dyDescent="0.25">
      <c r="A7" s="5" t="s">
        <v>7</v>
      </c>
      <c r="B7" s="42">
        <v>54.526000000000003</v>
      </c>
      <c r="C7" s="42">
        <v>15.255100000000001</v>
      </c>
      <c r="D7" s="6">
        <v>0.57916160655737703</v>
      </c>
      <c r="E7" s="6">
        <v>0.54592893150684929</v>
      </c>
      <c r="F7" s="6">
        <v>0.89970869315068491</v>
      </c>
      <c r="G7" s="6">
        <v>0.99894223561643836</v>
      </c>
      <c r="H7" s="6">
        <v>0.7469765054644808</v>
      </c>
      <c r="I7" s="6">
        <v>0.58635802762430944</v>
      </c>
      <c r="K7" s="42" t="s">
        <v>42</v>
      </c>
      <c r="L7" s="42">
        <v>54.526000000000003</v>
      </c>
      <c r="M7" s="42">
        <v>15.255100000000001</v>
      </c>
    </row>
    <row r="8" spans="1:13" ht="15" thickBot="1" x14ac:dyDescent="0.25">
      <c r="A8" s="5" t="s">
        <v>8</v>
      </c>
      <c r="B8" s="42">
        <v>37.090200000000003</v>
      </c>
      <c r="C8" s="42">
        <v>-95.712900000000005</v>
      </c>
      <c r="D8" s="6">
        <v>0.56878921857923492</v>
      </c>
      <c r="E8" s="6">
        <v>0.61041528219178087</v>
      </c>
      <c r="F8" s="6">
        <v>0.68230418630136991</v>
      </c>
      <c r="G8" s="6">
        <v>0.48540536986301369</v>
      </c>
      <c r="H8" s="6">
        <v>0.49877299726775953</v>
      </c>
      <c r="I8" s="6">
        <v>0.42680213812154699</v>
      </c>
      <c r="K8" s="42" t="s">
        <v>8</v>
      </c>
      <c r="L8" s="42">
        <v>37.090200000000003</v>
      </c>
      <c r="M8" s="42">
        <v>-95.712900000000005</v>
      </c>
    </row>
    <row r="9" spans="1:13" ht="15" thickBot="1" x14ac:dyDescent="0.25">
      <c r="A9" s="5" t="s">
        <v>9</v>
      </c>
      <c r="B9" s="42">
        <v>23.885899999999999</v>
      </c>
      <c r="C9" s="42">
        <v>45.0792</v>
      </c>
      <c r="D9" s="6">
        <v>0.27981561748633876</v>
      </c>
      <c r="E9" s="6">
        <v>0.44676779999999999</v>
      </c>
      <c r="F9" s="6">
        <v>0.52369704931506855</v>
      </c>
      <c r="G9" s="6">
        <v>0.27951709863013696</v>
      </c>
      <c r="H9" s="6">
        <v>0.23442875136612021</v>
      </c>
      <c r="I9" s="6">
        <v>1.8222436464088398E-2</v>
      </c>
      <c r="K9" s="42" t="s">
        <v>9</v>
      </c>
      <c r="L9" s="42">
        <v>23.885899999999999</v>
      </c>
      <c r="M9" s="42">
        <v>45.0792</v>
      </c>
    </row>
    <row r="10" spans="1:13" ht="15" customHeight="1" thickBot="1" x14ac:dyDescent="0.25">
      <c r="A10" s="7" t="s">
        <v>10</v>
      </c>
      <c r="B10" s="7"/>
      <c r="C10" s="7"/>
      <c r="D10" s="8">
        <v>0.81611015300546452</v>
      </c>
      <c r="E10" s="8">
        <v>0.91419441095890419</v>
      </c>
      <c r="F10" s="8">
        <v>0.84392931506849311</v>
      </c>
      <c r="G10" s="8">
        <v>1.024752684931507</v>
      </c>
      <c r="H10" s="8">
        <v>0.60352712841530054</v>
      </c>
      <c r="I10" s="8">
        <v>0.55701107182320442</v>
      </c>
    </row>
    <row r="11" spans="1:13" ht="14.25" customHeight="1" thickTop="1" x14ac:dyDescent="0.2">
      <c r="F11" s="12"/>
      <c r="G11" s="12"/>
    </row>
    <row r="13" spans="1:13" x14ac:dyDescent="0.2">
      <c r="D13" s="10"/>
      <c r="E13" s="11"/>
      <c r="F13" s="11"/>
      <c r="G13" s="11"/>
    </row>
    <row r="14" spans="1:13" x14ac:dyDescent="0.2">
      <c r="D14" s="10"/>
      <c r="E14" s="11"/>
      <c r="F14" s="11"/>
      <c r="G14" s="11"/>
    </row>
    <row r="15" spans="1:13" x14ac:dyDescent="0.2">
      <c r="D15" s="10"/>
      <c r="E15" s="11"/>
      <c r="F15" s="11"/>
      <c r="G15" s="11"/>
    </row>
    <row r="16" spans="1:13" x14ac:dyDescent="0.2">
      <c r="D16" s="10"/>
      <c r="E16" s="11"/>
      <c r="F16" s="11"/>
      <c r="G16" s="11"/>
    </row>
    <row r="18" spans="6:8" x14ac:dyDescent="0.2">
      <c r="F18" s="14"/>
      <c r="H18" s="15"/>
    </row>
  </sheetData>
  <pageMargins left="0.7" right="0.7" top="0.75" bottom="0.75" header="0.3" footer="0.3"/>
  <pageSetup orientation="portrait" verticalDpi="599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world chokepoints</vt:lpstr>
      <vt:lpstr>Sheet1</vt:lpstr>
      <vt:lpstr>CrudeByOrigin_F5</vt:lpstr>
      <vt:lpstr>CrudeByDestination_F5</vt:lpstr>
    </vt:vector>
  </TitlesOfParts>
  <Company>U.S. Energy Information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Barden, Justine</dc:creator>
  <cp:lastModifiedBy>Debasish Samanta</cp:lastModifiedBy>
  <dcterms:created xsi:type="dcterms:W3CDTF">2026-02-26T13:38:21Z</dcterms:created>
  <dcterms:modified xsi:type="dcterms:W3CDTF">2026-04-20T09:50:34Z</dcterms:modified>
</cp:coreProperties>
</file>